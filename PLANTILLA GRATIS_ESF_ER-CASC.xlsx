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UTH\OneDrive\Escritorio\"/>
    </mc:Choice>
  </mc:AlternateContent>
  <xr:revisionPtr revIDLastSave="0" documentId="8_{5A797487-6F43-400A-9123-F9E571F089A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os" sheetId="6" r:id="rId1"/>
    <sheet name="Estructura" sheetId="7" r:id="rId2"/>
  </sheet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OptionCustomItemsCount" hidden="1">0</definedName>
    <definedName name="_AtRisk_SimSetting_ReportOptionDataMode" hidden="1">1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0</definedName>
    <definedName name="_AtRisk_SimSetting_ReportOptionReportsFileType" hidden="1">1</definedName>
    <definedName name="_AtRisk_SimSetting_ReportOptionSelectiveQR" hidden="1">FALSE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xlnm.Print_Area" localSheetId="0">Datos!$B$1:$E$25</definedName>
    <definedName name="Pal_Workbook_GUID" hidden="1">"K46MDG1NAZ5R97UF63UY5DKZ"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7</definedName>
    <definedName name="RiskIsInput" hidden="1">FALSE</definedName>
    <definedName name="RiskIsOptimization" hidden="1">FALSE</definedName>
    <definedName name="RiskIsOutput" hidden="1">FALSE</definedName>
    <definedName name="RiskIsStatistics" hidden="1">FALSE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5000</definedName>
    <definedName name="RiskNumSimulations" hidden="1">3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7" l="1"/>
  <c r="C22" i="7"/>
  <c r="B7" i="7"/>
  <c r="E20" i="7"/>
  <c r="D20" i="7"/>
  <c r="E18" i="7"/>
  <c r="G15" i="7"/>
  <c r="H15" i="7"/>
  <c r="H13" i="7"/>
  <c r="H9" i="7"/>
  <c r="H8" i="7"/>
  <c r="H6" i="7"/>
  <c r="H11" i="7"/>
  <c r="G11" i="7"/>
  <c r="H12" i="7"/>
  <c r="G13" i="7"/>
  <c r="E9" i="7"/>
  <c r="D9" i="7"/>
  <c r="G9" i="7"/>
  <c r="E12" i="7"/>
  <c r="E13" i="7" s="1"/>
  <c r="D12" i="7"/>
  <c r="D18" i="7"/>
  <c r="E17" i="7"/>
  <c r="D17" i="7"/>
  <c r="H5" i="7"/>
  <c r="G5" i="7"/>
  <c r="G8" i="7"/>
  <c r="E8" i="7"/>
  <c r="D8" i="7"/>
  <c r="G12" i="7"/>
  <c r="E7" i="7"/>
  <c r="D7" i="7"/>
  <c r="C9" i="7"/>
  <c r="B9" i="7"/>
  <c r="C8" i="7"/>
  <c r="C10" i="7" s="1"/>
  <c r="B8" i="7"/>
  <c r="C13" i="7"/>
  <c r="C14" i="7" s="1"/>
  <c r="B13" i="7"/>
  <c r="G6" i="7"/>
  <c r="E10" i="7" l="1"/>
  <c r="H7" i="7"/>
  <c r="H10" i="7" s="1"/>
  <c r="H14" i="7" s="1"/>
  <c r="H16" i="7" s="1"/>
  <c r="E19" i="7" s="1"/>
  <c r="E21" i="7" s="1"/>
  <c r="E22" i="7" s="1"/>
  <c r="C23" i="7" s="1"/>
  <c r="C25" i="6" l="1"/>
  <c r="C22" i="6"/>
</calcChain>
</file>

<file path=xl/sharedStrings.xml><?xml version="1.0" encoding="utf-8"?>
<sst xmlns="http://schemas.openxmlformats.org/spreadsheetml/2006/main" count="74" uniqueCount="68">
  <si>
    <t>Utilidad Bruta</t>
  </si>
  <si>
    <t>Gastos financieros</t>
  </si>
  <si>
    <t>Utilidad Operativa</t>
  </si>
  <si>
    <t>Utilidad antes Impuestos</t>
  </si>
  <si>
    <t>Estado de Situacion Financiera</t>
  </si>
  <si>
    <t>En soles</t>
  </si>
  <si>
    <t>Activo Corriente</t>
  </si>
  <si>
    <t>Pasivo Corriente</t>
  </si>
  <si>
    <t>Activo No Corriente</t>
  </si>
  <si>
    <t>Patrimonio</t>
  </si>
  <si>
    <t xml:space="preserve"> </t>
  </si>
  <si>
    <t>Total Pasivo y Patrimonio</t>
  </si>
  <si>
    <t>Activos</t>
  </si>
  <si>
    <t>Pasivo y Patrimonio</t>
  </si>
  <si>
    <t>Total Activos</t>
  </si>
  <si>
    <t>Estado de Resultados</t>
  </si>
  <si>
    <t>Pasivo No Corriente</t>
  </si>
  <si>
    <t>Total patrimonio</t>
  </si>
  <si>
    <t>Tributos por pagar</t>
  </si>
  <si>
    <t>Obligaciones financieras (CP)</t>
  </si>
  <si>
    <t>Capital social</t>
  </si>
  <si>
    <t>Reserva legal</t>
  </si>
  <si>
    <t>Ingresos por valorizaciones</t>
  </si>
  <si>
    <t>Efectivo y equivalente de efectivo</t>
  </si>
  <si>
    <t>Utilidad del ejercicio</t>
  </si>
  <si>
    <t>Constructora MAGNET S.A.</t>
  </si>
  <si>
    <t xml:space="preserve">Gastos de comisiones </t>
  </si>
  <si>
    <t>Gasto por impuesto a las ganancias</t>
  </si>
  <si>
    <t>Obligaciones financieras (LP)</t>
  </si>
  <si>
    <t>Valorizaciones por cobrar</t>
  </si>
  <si>
    <t>Inventarios de materiales de construcción</t>
  </si>
  <si>
    <t>Costo enajenación activo</t>
  </si>
  <si>
    <t>Ingreso por enajenación activo</t>
  </si>
  <si>
    <t>Cuentas por pagar subcontratistas</t>
  </si>
  <si>
    <t>Gasto de administración</t>
  </si>
  <si>
    <t>?</t>
  </si>
  <si>
    <t>S/.</t>
  </si>
  <si>
    <t xml:space="preserve">Cuentas </t>
  </si>
  <si>
    <t>Resultado acumulado al 31.12.2024</t>
  </si>
  <si>
    <t>Saldos ajustados del Balance de Comprobación al 31.01.2026</t>
  </si>
  <si>
    <t>Al 31 de enero de 2026</t>
  </si>
  <si>
    <t>Periodo terminado el 31 de enero de 2026</t>
  </si>
  <si>
    <t>Costo de obra - ER</t>
  </si>
  <si>
    <t>PASIVO CORRIENTE</t>
  </si>
  <si>
    <t>ESTADO DE RESULTADOS, ANTES DE UTIL. BRUTA</t>
  </si>
  <si>
    <t>PAT</t>
  </si>
  <si>
    <t>Resultado acumulado</t>
  </si>
  <si>
    <t>PAS CORR</t>
  </si>
  <si>
    <t>NO SIRVE EL RA ES ANUAL</t>
  </si>
  <si>
    <t>Maquinaria y equipo, IME, PPE</t>
  </si>
  <si>
    <t>ACT NO CORR</t>
  </si>
  <si>
    <t>Resultados - otros ingresos</t>
  </si>
  <si>
    <t xml:space="preserve"> -</t>
  </si>
  <si>
    <t>Total Activo corriente</t>
  </si>
  <si>
    <t>RESULTADOS</t>
  </si>
  <si>
    <t>PAS CORR - CUENTAS POR PAGAR COMERCIALES</t>
  </si>
  <si>
    <t>ER - DESPUÉS DE LA UTILIDAD OPERATIVA Y ANTES DE LA UTILIDAD ANTES DE IMPUESTOS</t>
  </si>
  <si>
    <t>ER - negativo</t>
  </si>
  <si>
    <t>ER - VA EN NEGATIVO</t>
  </si>
  <si>
    <t>ER - VA EN NEGATIVO, ultima deducción para hallar la utilidad neta</t>
  </si>
  <si>
    <t>Total Activo no corriente</t>
  </si>
  <si>
    <t>Total pasivo corriente</t>
  </si>
  <si>
    <t>Total pasivo no corriente</t>
  </si>
  <si>
    <t>TOTAL PASIVO + PATRIMONIO = S/ 11,659,000</t>
  </si>
  <si>
    <t xml:space="preserve">TOTAL ACTIVOS sin efectivo = S/ 11,500,000  </t>
  </si>
  <si>
    <t>Total pasivo</t>
  </si>
  <si>
    <t>Efectivo</t>
  </si>
  <si>
    <t>EFECTIVO requerido = S/ 159,000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</si>
</sst>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7" formatCode="_-* #,##0.00_-;\-* #,##0.00_-;_-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rgb="FF000000"/>
      <name val="Arial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sz val="9"/>
      <color rgb="FFFF0000"/>
      <name val="Segoe UI"/>
      <family val="2"/>
    </font>
    <font>
      <sz val="9"/>
      <name val="Segoe UI"/>
      <family val="2"/>
    </font>
    <font>
      <b/>
      <sz val="9"/>
      <color rgb="FFFF0000"/>
      <name val="Segoe UI"/>
      <family val="2"/>
    </font>
    <font>
      <sz val="9"/>
      <color rgb="FF0000FF"/>
      <name val="Segoe UI"/>
      <family val="2"/>
    </font>
    <font>
      <b/>
      <sz val="9"/>
      <color rgb="FF0000FF"/>
      <name val="Segoe UI"/>
      <family val="2"/>
    </font>
    <font>
      <b/>
      <i/>
      <sz val="9"/>
      <color rgb="FF0000FF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</borders>
  <cellStyleXfs count="7">
    <xf numFmtId="0" fontId="0" fillId="0" borderId="0"/>
    <xf numFmtId="0" fontId="3" fillId="0" borderId="0"/>
    <xf numFmtId="0" fontId="4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</cellStyleXfs>
  <cellXfs count="73">
    <xf numFmtId="0" fontId="0" fillId="0" borderId="0" xfId="0"/>
    <xf numFmtId="0" fontId="2" fillId="0" borderId="0" xfId="0" applyFont="1"/>
    <xf numFmtId="3" fontId="5" fillId="0" borderId="0" xfId="0" applyNumberFormat="1" applyFont="1"/>
    <xf numFmtId="0" fontId="5" fillId="0" borderId="0" xfId="0" applyFont="1"/>
    <xf numFmtId="3" fontId="5" fillId="0" borderId="1" xfId="0" applyNumberFormat="1" applyFont="1" applyBorder="1"/>
    <xf numFmtId="0" fontId="5" fillId="0" borderId="1" xfId="0" applyFont="1" applyBorder="1"/>
    <xf numFmtId="0" fontId="6" fillId="0" borderId="0" xfId="0" applyFont="1"/>
    <xf numFmtId="3" fontId="5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2" borderId="1" xfId="0" applyFont="1" applyFill="1" applyBorder="1"/>
    <xf numFmtId="0" fontId="5" fillId="3" borderId="1" xfId="0" applyFont="1" applyFill="1" applyBorder="1"/>
    <xf numFmtId="0" fontId="5" fillId="4" borderId="1" xfId="0" applyFont="1" applyFill="1" applyBorder="1"/>
    <xf numFmtId="0" fontId="5" fillId="5" borderId="1" xfId="0" applyFont="1" applyFill="1" applyBorder="1"/>
    <xf numFmtId="0" fontId="5" fillId="6" borderId="1" xfId="0" applyFont="1" applyFill="1" applyBorder="1"/>
    <xf numFmtId="0" fontId="5" fillId="8" borderId="1" xfId="0" applyFont="1" applyFill="1" applyBorder="1"/>
    <xf numFmtId="0" fontId="5" fillId="9" borderId="1" xfId="0" applyFont="1" applyFill="1" applyBorder="1"/>
    <xf numFmtId="0" fontId="9" fillId="0" borderId="0" xfId="0" applyFont="1"/>
    <xf numFmtId="0" fontId="8" fillId="0" borderId="0" xfId="0" applyFont="1"/>
    <xf numFmtId="0" fontId="8" fillId="0" borderId="0" xfId="0" applyFont="1" applyBorder="1"/>
    <xf numFmtId="3" fontId="8" fillId="0" borderId="0" xfId="0" applyNumberFormat="1" applyFont="1" applyBorder="1"/>
    <xf numFmtId="0" fontId="9" fillId="0" borderId="0" xfId="0" applyFont="1" applyBorder="1"/>
    <xf numFmtId="0" fontId="11" fillId="0" borderId="0" xfId="0" applyFont="1"/>
    <xf numFmtId="0" fontId="9" fillId="0" borderId="5" xfId="0" applyFont="1" applyBorder="1" applyAlignment="1">
      <alignment horizontal="right"/>
    </xf>
    <xf numFmtId="0" fontId="9" fillId="0" borderId="0" xfId="0" applyFont="1" applyBorder="1" applyAlignment="1">
      <alignment horizontal="right"/>
    </xf>
    <xf numFmtId="3" fontId="11" fillId="0" borderId="0" xfId="0" applyNumberFormat="1" applyFont="1"/>
    <xf numFmtId="3" fontId="12" fillId="0" borderId="0" xfId="0" applyNumberFormat="1" applyFont="1" applyAlignment="1">
      <alignment horizontal="center"/>
    </xf>
    <xf numFmtId="0" fontId="9" fillId="0" borderId="2" xfId="0" applyFont="1" applyBorder="1"/>
    <xf numFmtId="0" fontId="9" fillId="0" borderId="3" xfId="0" applyFont="1" applyBorder="1"/>
    <xf numFmtId="0" fontId="8" fillId="0" borderId="4" xfId="0" applyFont="1" applyBorder="1"/>
    <xf numFmtId="0" fontId="9" fillId="0" borderId="5" xfId="0" applyFont="1" applyBorder="1"/>
    <xf numFmtId="0" fontId="8" fillId="0" borderId="6" xfId="0" applyFont="1" applyBorder="1"/>
    <xf numFmtId="0" fontId="8" fillId="0" borderId="5" xfId="0" applyFont="1" applyBorder="1"/>
    <xf numFmtId="3" fontId="10" fillId="7" borderId="6" xfId="0" applyNumberFormat="1" applyFont="1" applyFill="1" applyBorder="1"/>
    <xf numFmtId="3" fontId="13" fillId="9" borderId="6" xfId="0" applyNumberFormat="1" applyFont="1" applyFill="1" applyBorder="1"/>
    <xf numFmtId="0" fontId="9" fillId="0" borderId="11" xfId="0" applyFont="1" applyBorder="1"/>
    <xf numFmtId="3" fontId="9" fillId="0" borderId="12" xfId="0" applyNumberFormat="1" applyFont="1" applyBorder="1"/>
    <xf numFmtId="0" fontId="15" fillId="9" borderId="11" xfId="0" applyFont="1" applyFill="1" applyBorder="1" applyAlignment="1">
      <alignment horizontal="center"/>
    </xf>
    <xf numFmtId="3" fontId="14" fillId="7" borderId="10" xfId="0" applyNumberFormat="1" applyFont="1" applyFill="1" applyBorder="1"/>
    <xf numFmtId="0" fontId="10" fillId="7" borderId="1" xfId="0" applyFont="1" applyFill="1" applyBorder="1" applyAlignment="1">
      <alignment horizontal="center"/>
    </xf>
    <xf numFmtId="0" fontId="10" fillId="7" borderId="1" xfId="0" applyFont="1" applyFill="1" applyBorder="1"/>
    <xf numFmtId="3" fontId="14" fillId="9" borderId="15" xfId="0" applyNumberFormat="1" applyFont="1" applyFill="1" applyBorder="1"/>
    <xf numFmtId="3" fontId="13" fillId="9" borderId="17" xfId="0" applyNumberFormat="1" applyFont="1" applyFill="1" applyBorder="1"/>
    <xf numFmtId="0" fontId="10" fillId="7" borderId="16" xfId="0" applyFont="1" applyFill="1" applyBorder="1"/>
    <xf numFmtId="0" fontId="8" fillId="0" borderId="18" xfId="0" applyFont="1" applyBorder="1"/>
    <xf numFmtId="3" fontId="13" fillId="9" borderId="19" xfId="0" applyNumberFormat="1" applyFont="1" applyFill="1" applyBorder="1"/>
    <xf numFmtId="3" fontId="10" fillId="7" borderId="13" xfId="0" applyNumberFormat="1" applyFont="1" applyFill="1" applyBorder="1"/>
    <xf numFmtId="0" fontId="10" fillId="7" borderId="20" xfId="0" applyFont="1" applyFill="1" applyBorder="1"/>
    <xf numFmtId="3" fontId="13" fillId="9" borderId="21" xfId="0" applyNumberFormat="1" applyFont="1" applyFill="1" applyBorder="1"/>
    <xf numFmtId="3" fontId="10" fillId="7" borderId="20" xfId="0" applyNumberFormat="1" applyFont="1" applyFill="1" applyBorder="1"/>
    <xf numFmtId="3" fontId="14" fillId="9" borderId="13" xfId="0" applyNumberFormat="1" applyFont="1" applyFill="1" applyBorder="1"/>
    <xf numFmtId="0" fontId="8" fillId="0" borderId="2" xfId="0" applyFont="1" applyBorder="1"/>
    <xf numFmtId="0" fontId="8" fillId="7" borderId="14" xfId="0" applyFont="1" applyFill="1" applyBorder="1"/>
    <xf numFmtId="3" fontId="8" fillId="7" borderId="13" xfId="0" applyNumberFormat="1" applyFont="1" applyFill="1" applyBorder="1"/>
    <xf numFmtId="0" fontId="8" fillId="7" borderId="13" xfId="0" applyFont="1" applyFill="1" applyBorder="1"/>
    <xf numFmtId="3" fontId="8" fillId="7" borderId="20" xfId="0" applyNumberFormat="1" applyFont="1" applyFill="1" applyBorder="1"/>
    <xf numFmtId="3" fontId="14" fillId="9" borderId="22" xfId="0" applyNumberFormat="1" applyFont="1" applyFill="1" applyBorder="1"/>
    <xf numFmtId="0" fontId="9" fillId="0" borderId="7" xfId="0" applyFont="1" applyBorder="1" applyAlignment="1">
      <alignment horizontal="right"/>
    </xf>
    <xf numFmtId="0" fontId="14" fillId="9" borderId="8" xfId="0" applyFont="1" applyFill="1" applyBorder="1" applyAlignment="1">
      <alignment horizontal="left"/>
    </xf>
    <xf numFmtId="0" fontId="14" fillId="9" borderId="2" xfId="0" applyFont="1" applyFill="1" applyBorder="1" applyAlignment="1">
      <alignment horizontal="center"/>
    </xf>
    <xf numFmtId="0" fontId="14" fillId="9" borderId="3" xfId="0" applyFont="1" applyFill="1" applyBorder="1" applyAlignment="1">
      <alignment horizontal="center"/>
    </xf>
    <xf numFmtId="0" fontId="14" fillId="9" borderId="4" xfId="0" applyFont="1" applyFill="1" applyBorder="1" applyAlignment="1">
      <alignment horizontal="center"/>
    </xf>
    <xf numFmtId="0" fontId="14" fillId="9" borderId="5" xfId="0" applyFont="1" applyFill="1" applyBorder="1" applyAlignment="1">
      <alignment horizontal="left"/>
    </xf>
    <xf numFmtId="0" fontId="14" fillId="9" borderId="0" xfId="0" applyFont="1" applyFill="1" applyBorder="1" applyAlignment="1">
      <alignment horizontal="left"/>
    </xf>
    <xf numFmtId="0" fontId="14" fillId="9" borderId="6" xfId="0" applyFont="1" applyFill="1" applyBorder="1" applyAlignment="1">
      <alignment horizontal="left"/>
    </xf>
    <xf numFmtId="0" fontId="14" fillId="9" borderId="7" xfId="0" applyFont="1" applyFill="1" applyBorder="1" applyAlignment="1">
      <alignment horizontal="left"/>
    </xf>
    <xf numFmtId="0" fontId="14" fillId="9" borderId="9" xfId="0" applyFont="1" applyFill="1" applyBorder="1" applyAlignment="1">
      <alignment horizontal="left"/>
    </xf>
    <xf numFmtId="0" fontId="8" fillId="0" borderId="23" xfId="0" applyFont="1" applyBorder="1"/>
    <xf numFmtId="0" fontId="11" fillId="0" borderId="23" xfId="0" applyFont="1" applyBorder="1" applyAlignment="1">
      <alignment horizontal="center"/>
    </xf>
    <xf numFmtId="0" fontId="11" fillId="0" borderId="24" xfId="0" applyFont="1" applyBorder="1" applyAlignment="1">
      <alignment horizontal="center"/>
    </xf>
    <xf numFmtId="0" fontId="12" fillId="7" borderId="25" xfId="0" applyFont="1" applyFill="1" applyBorder="1" applyAlignment="1">
      <alignment horizontal="center"/>
    </xf>
    <xf numFmtId="0" fontId="11" fillId="0" borderId="26" xfId="0" applyFont="1" applyBorder="1" applyAlignment="1">
      <alignment horizontal="center"/>
    </xf>
    <xf numFmtId="0" fontId="11" fillId="0" borderId="27" xfId="0" applyFont="1" applyBorder="1" applyAlignment="1">
      <alignment horizontal="center"/>
    </xf>
    <xf numFmtId="0" fontId="12" fillId="7" borderId="28" xfId="0" applyFont="1" applyFill="1" applyBorder="1" applyAlignment="1">
      <alignment horizontal="center"/>
    </xf>
  </cellXfs>
  <cellStyles count="7">
    <cellStyle name="Millares 2" xfId="3" xr:uid="{9CE35B96-0467-4A6C-A7EE-C3E2546DD56D}"/>
    <cellStyle name="Millares 3" xfId="4" xr:uid="{188ECB8E-9B6B-4193-983B-DAFD54C2FCCB}"/>
    <cellStyle name="Normal" xfId="0" builtinId="0"/>
    <cellStyle name="Normal 2" xfId="1" xr:uid="{00000000-0005-0000-0000-000002000000}"/>
    <cellStyle name="Normal 2 2" xfId="5" xr:uid="{13AB37A6-C4CD-43CC-A6F4-BFF1222FE68F}"/>
    <cellStyle name="Normal 3" xfId="2" xr:uid="{00000000-0005-0000-0000-000003000000}"/>
    <cellStyle name="Percent 2" xfId="6" xr:uid="{73FFE7AB-3D28-4A91-8C9A-1F13367C53AF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23813</xdr:colOff>
      <xdr:row>15</xdr:row>
      <xdr:rowOff>95250</xdr:rowOff>
    </xdr:from>
    <xdr:to>
      <xdr:col>7</xdr:col>
      <xdr:colOff>309563</xdr:colOff>
      <xdr:row>18</xdr:row>
      <xdr:rowOff>87312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3414DB4E-BA9F-224B-2408-501B09A4F6E2}"/>
            </a:ext>
          </a:extLst>
        </xdr:cNvPr>
        <xdr:cNvCxnSpPr/>
      </xdr:nvCxnSpPr>
      <xdr:spPr>
        <a:xfrm flipH="1">
          <a:off x="7246938" y="2754313"/>
          <a:ext cx="2635250" cy="51593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C7DD1-C2A1-4E46-90AC-87713D893119}">
  <dimension ref="B2:D27"/>
  <sheetViews>
    <sheetView tabSelected="1" zoomScale="90" zoomScaleNormal="90" workbookViewId="0">
      <selection activeCell="K5" sqref="K5"/>
    </sheetView>
  </sheetViews>
  <sheetFormatPr baseColWidth="10" defaultRowHeight="14.5" x14ac:dyDescent="0.35"/>
  <cols>
    <col min="2" max="2" width="45.6328125" customWidth="1"/>
    <col min="5" max="5" width="31.08984375" customWidth="1"/>
  </cols>
  <sheetData>
    <row r="2" spans="2:4" ht="15.5" x14ac:dyDescent="0.35">
      <c r="B2" s="6" t="s">
        <v>39</v>
      </c>
      <c r="C2" s="1"/>
      <c r="D2" s="1"/>
    </row>
    <row r="3" spans="2:4" ht="15.5" x14ac:dyDescent="0.35">
      <c r="B3" s="8" t="s">
        <v>37</v>
      </c>
      <c r="C3" s="8" t="s">
        <v>36</v>
      </c>
      <c r="D3" s="1"/>
    </row>
    <row r="4" spans="2:4" ht="15.5" x14ac:dyDescent="0.35">
      <c r="B4" s="5" t="s">
        <v>23</v>
      </c>
      <c r="C4" s="7" t="s">
        <v>35</v>
      </c>
      <c r="D4" s="1"/>
    </row>
    <row r="5" spans="2:4" ht="15.5" x14ac:dyDescent="0.35">
      <c r="B5" s="9" t="s">
        <v>42</v>
      </c>
      <c r="C5" s="4">
        <v>5000000</v>
      </c>
      <c r="D5" s="1" t="s">
        <v>57</v>
      </c>
    </row>
    <row r="6" spans="2:4" ht="15.5" x14ac:dyDescent="0.35">
      <c r="B6" s="10" t="s">
        <v>29</v>
      </c>
      <c r="C6" s="4">
        <v>2400000</v>
      </c>
      <c r="D6" s="1"/>
    </row>
    <row r="7" spans="2:4" ht="15.5" x14ac:dyDescent="0.35">
      <c r="B7" s="10" t="s">
        <v>30</v>
      </c>
      <c r="C7" s="4">
        <v>1600000</v>
      </c>
      <c r="D7" s="1"/>
    </row>
    <row r="8" spans="2:4" ht="15.5" x14ac:dyDescent="0.35">
      <c r="B8" s="15" t="s">
        <v>32</v>
      </c>
      <c r="C8" s="4">
        <v>475000</v>
      </c>
      <c r="D8" s="1" t="s">
        <v>51</v>
      </c>
    </row>
    <row r="9" spans="2:4" ht="15.5" x14ac:dyDescent="0.35">
      <c r="B9" s="14" t="s">
        <v>27</v>
      </c>
      <c r="C9" s="4">
        <v>182000</v>
      </c>
      <c r="D9" s="1" t="s">
        <v>59</v>
      </c>
    </row>
    <row r="10" spans="2:4" ht="15.5" x14ac:dyDescent="0.35">
      <c r="B10" s="11" t="s">
        <v>18</v>
      </c>
      <c r="C10" s="4">
        <v>756000</v>
      </c>
      <c r="D10" s="1" t="s">
        <v>47</v>
      </c>
    </row>
    <row r="11" spans="2:4" ht="15.5" x14ac:dyDescent="0.35">
      <c r="B11" s="12" t="s">
        <v>1</v>
      </c>
      <c r="C11" s="4">
        <v>18000</v>
      </c>
      <c r="D11" s="1" t="s">
        <v>58</v>
      </c>
    </row>
    <row r="12" spans="2:4" ht="15.5" x14ac:dyDescent="0.35">
      <c r="B12" s="13" t="s">
        <v>19</v>
      </c>
      <c r="C12" s="4">
        <v>1620000</v>
      </c>
      <c r="D12" s="1" t="s">
        <v>43</v>
      </c>
    </row>
    <row r="13" spans="2:4" ht="15.5" x14ac:dyDescent="0.35">
      <c r="B13" s="13" t="s">
        <v>34</v>
      </c>
      <c r="C13" s="4">
        <v>1300000</v>
      </c>
      <c r="D13" s="1"/>
    </row>
    <row r="14" spans="2:4" ht="15.5" x14ac:dyDescent="0.35">
      <c r="B14" s="13" t="s">
        <v>28</v>
      </c>
      <c r="C14" s="4">
        <v>4000000</v>
      </c>
      <c r="D14" s="1" t="s">
        <v>47</v>
      </c>
    </row>
    <row r="15" spans="2:4" ht="15.5" x14ac:dyDescent="0.35">
      <c r="B15" s="15" t="s">
        <v>22</v>
      </c>
      <c r="C15" s="4">
        <v>7000000</v>
      </c>
      <c r="D15" s="1" t="s">
        <v>44</v>
      </c>
    </row>
    <row r="16" spans="2:4" ht="15.5" x14ac:dyDescent="0.35">
      <c r="B16" s="14" t="s">
        <v>21</v>
      </c>
      <c r="C16" s="4">
        <v>420000</v>
      </c>
      <c r="D16" s="1" t="s">
        <v>45</v>
      </c>
    </row>
    <row r="17" spans="2:4" ht="15.5" x14ac:dyDescent="0.35">
      <c r="B17" s="5" t="s">
        <v>38</v>
      </c>
      <c r="C17" s="4">
        <v>1000000</v>
      </c>
      <c r="D17" s="1" t="s">
        <v>48</v>
      </c>
    </row>
    <row r="18" spans="2:4" ht="15.5" x14ac:dyDescent="0.35">
      <c r="B18" s="10" t="s">
        <v>49</v>
      </c>
      <c r="C18" s="4">
        <v>7500000</v>
      </c>
      <c r="D18" s="1" t="s">
        <v>50</v>
      </c>
    </row>
    <row r="19" spans="2:4" ht="15.5" x14ac:dyDescent="0.35">
      <c r="B19" s="15" t="s">
        <v>26</v>
      </c>
      <c r="C19" s="4">
        <v>176000</v>
      </c>
      <c r="D19" s="1" t="s">
        <v>54</v>
      </c>
    </row>
    <row r="20" spans="2:4" ht="15.5" x14ac:dyDescent="0.35">
      <c r="B20" s="13" t="s">
        <v>33</v>
      </c>
      <c r="C20" s="4">
        <v>1405000</v>
      </c>
      <c r="D20" s="1" t="s">
        <v>55</v>
      </c>
    </row>
    <row r="21" spans="2:4" ht="15.5" x14ac:dyDescent="0.35">
      <c r="B21" s="13" t="s">
        <v>31</v>
      </c>
      <c r="C21" s="4">
        <v>500000</v>
      </c>
      <c r="D21" s="1" t="s">
        <v>56</v>
      </c>
    </row>
    <row r="22" spans="2:4" ht="15.5" x14ac:dyDescent="0.35">
      <c r="B22" s="15" t="s">
        <v>20</v>
      </c>
      <c r="C22" s="4">
        <f>2174000-105000+90000</f>
        <v>2159000</v>
      </c>
      <c r="D22" s="1" t="s">
        <v>45</v>
      </c>
    </row>
    <row r="23" spans="2:4" ht="15.5" x14ac:dyDescent="0.35">
      <c r="B23" s="3" t="s">
        <v>10</v>
      </c>
      <c r="C23" s="2" t="s">
        <v>10</v>
      </c>
      <c r="D23" s="1"/>
    </row>
    <row r="24" spans="2:4" ht="15.5" x14ac:dyDescent="0.35">
      <c r="B24" s="1"/>
      <c r="C24" s="1"/>
      <c r="D24" s="1"/>
    </row>
    <row r="25" spans="2:4" ht="15.5" x14ac:dyDescent="0.35">
      <c r="B25" s="3" t="s">
        <v>10</v>
      </c>
      <c r="C25" s="2" t="str">
        <f>+C23</f>
        <v xml:space="preserve"> </v>
      </c>
      <c r="D25" s="1"/>
    </row>
    <row r="26" spans="2:4" ht="15.5" x14ac:dyDescent="0.35">
      <c r="B26" s="1"/>
      <c r="C26" s="1"/>
      <c r="D26" s="1"/>
    </row>
    <row r="27" spans="2:4" ht="15.5" x14ac:dyDescent="0.35">
      <c r="B27" s="1"/>
      <c r="C27" s="1"/>
      <c r="D27" s="1"/>
    </row>
  </sheetData>
  <pageMargins left="0.7" right="0.7" top="0.75" bottom="0.75" header="0.3" footer="0.3"/>
  <pageSetup paperSize="9" scale="8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1A731-F4DD-467F-BC64-CEDC1E21F72C}">
  <dimension ref="B1:L38"/>
  <sheetViews>
    <sheetView zoomScale="80" zoomScaleNormal="80" workbookViewId="0">
      <selection activeCell="H25" sqref="H25"/>
    </sheetView>
  </sheetViews>
  <sheetFormatPr baseColWidth="10" defaultColWidth="11.453125" defaultRowHeight="14" x14ac:dyDescent="0.4"/>
  <cols>
    <col min="1" max="1" width="11.453125" style="17"/>
    <col min="2" max="2" width="36.453125" style="17" customWidth="1"/>
    <col min="3" max="3" width="13.453125" style="17" bestFit="1" customWidth="1"/>
    <col min="4" max="4" width="29.453125" style="17" customWidth="1"/>
    <col min="5" max="5" width="12.6328125" style="17" bestFit="1" customWidth="1"/>
    <col min="6" max="6" width="9.54296875" style="17" customWidth="1"/>
    <col min="7" max="7" width="24.08984375" style="17" customWidth="1"/>
    <col min="8" max="8" width="13" style="17" customWidth="1"/>
    <col min="9" max="9" width="5.54296875" style="17" customWidth="1"/>
    <col min="10" max="10" width="26.90625" style="17" customWidth="1"/>
    <col min="11" max="16384" width="11.453125" style="17"/>
  </cols>
  <sheetData>
    <row r="1" spans="2:12" x14ac:dyDescent="0.4">
      <c r="B1" s="58" t="s">
        <v>25</v>
      </c>
      <c r="C1" s="59"/>
      <c r="D1" s="59"/>
      <c r="E1" s="60"/>
      <c r="F1" s="21"/>
      <c r="G1" s="58" t="s">
        <v>25</v>
      </c>
      <c r="H1" s="60"/>
      <c r="I1" s="21"/>
    </row>
    <row r="2" spans="2:12" x14ac:dyDescent="0.4">
      <c r="B2" s="61" t="s">
        <v>4</v>
      </c>
      <c r="C2" s="62"/>
      <c r="D2" s="62"/>
      <c r="E2" s="63"/>
      <c r="F2" s="21"/>
      <c r="G2" s="61" t="s">
        <v>15</v>
      </c>
      <c r="H2" s="63"/>
      <c r="I2" s="21"/>
    </row>
    <row r="3" spans="2:12" x14ac:dyDescent="0.4">
      <c r="B3" s="61" t="s">
        <v>40</v>
      </c>
      <c r="C3" s="62"/>
      <c r="D3" s="62"/>
      <c r="E3" s="63"/>
      <c r="F3" s="21"/>
      <c r="G3" s="61" t="s">
        <v>41</v>
      </c>
      <c r="H3" s="63"/>
      <c r="I3" s="21"/>
    </row>
    <row r="4" spans="2:12" ht="14.5" thickBot="1" x14ac:dyDescent="0.45">
      <c r="B4" s="64" t="s">
        <v>5</v>
      </c>
      <c r="C4" s="57"/>
      <c r="D4" s="57"/>
      <c r="E4" s="65"/>
      <c r="F4" s="21"/>
      <c r="G4" s="64" t="s">
        <v>5</v>
      </c>
      <c r="H4" s="65"/>
      <c r="I4" s="21"/>
    </row>
    <row r="5" spans="2:12" x14ac:dyDescent="0.4">
      <c r="B5" s="26" t="s">
        <v>12</v>
      </c>
      <c r="C5" s="27"/>
      <c r="D5" s="27" t="s">
        <v>13</v>
      </c>
      <c r="E5" s="28"/>
      <c r="F5" s="21"/>
      <c r="G5" s="50" t="str">
        <f>Datos!B15</f>
        <v>Ingresos por valorizaciones</v>
      </c>
      <c r="H5" s="51">
        <f>Datos!C15</f>
        <v>7000000</v>
      </c>
      <c r="I5" s="21"/>
      <c r="J5" s="71" t="s">
        <v>63</v>
      </c>
      <c r="K5" s="70"/>
    </row>
    <row r="6" spans="2:12" ht="14.5" thickBot="1" x14ac:dyDescent="0.45">
      <c r="B6" s="29" t="s">
        <v>6</v>
      </c>
      <c r="C6" s="20"/>
      <c r="D6" s="20" t="s">
        <v>7</v>
      </c>
      <c r="E6" s="30"/>
      <c r="F6" s="21"/>
      <c r="G6" s="31" t="str">
        <f>Datos!B5</f>
        <v>Costo de obra - ER</v>
      </c>
      <c r="H6" s="54">
        <f>(-Datos!C5)</f>
        <v>-5000000</v>
      </c>
      <c r="I6" s="21"/>
      <c r="J6" s="67" t="s">
        <v>64</v>
      </c>
      <c r="K6" s="68"/>
      <c r="L6" s="66"/>
    </row>
    <row r="7" spans="2:12" ht="14.5" thickTop="1" x14ac:dyDescent="0.4">
      <c r="B7" s="31" t="str">
        <f>Datos!B4</f>
        <v>Efectivo y equivalente de efectivo</v>
      </c>
      <c r="C7" s="38" t="s">
        <v>52</v>
      </c>
      <c r="D7" s="19" t="str">
        <f>Datos!B10</f>
        <v>Tributos por pagar</v>
      </c>
      <c r="E7" s="45">
        <f>Datos!C10</f>
        <v>756000</v>
      </c>
      <c r="F7" s="21"/>
      <c r="G7" s="22" t="s">
        <v>0</v>
      </c>
      <c r="H7" s="47">
        <f>SUM(H5:H6)</f>
        <v>2000000</v>
      </c>
      <c r="I7" s="21"/>
      <c r="J7" s="72" t="s">
        <v>67</v>
      </c>
      <c r="K7" s="69"/>
    </row>
    <row r="8" spans="2:12" x14ac:dyDescent="0.4">
      <c r="B8" s="31" t="str">
        <f>Datos!B7</f>
        <v>Inventarios de materiales de construcción</v>
      </c>
      <c r="C8" s="39">
        <f>Datos!C7</f>
        <v>1600000</v>
      </c>
      <c r="D8" s="19" t="str">
        <f>Datos!B12</f>
        <v>Obligaciones financieras (CP)</v>
      </c>
      <c r="E8" s="45">
        <f>Datos!C12</f>
        <v>1620000</v>
      </c>
      <c r="F8" s="21"/>
      <c r="G8" s="31" t="str">
        <f>Datos!B13</f>
        <v>Gasto de administración</v>
      </c>
      <c r="H8" s="52">
        <f>-Datos!C13</f>
        <v>-1300000</v>
      </c>
      <c r="I8" s="21"/>
      <c r="J8" s="18"/>
    </row>
    <row r="9" spans="2:12" ht="14.5" thickBot="1" x14ac:dyDescent="0.45">
      <c r="B9" s="31" t="str">
        <f>Datos!B6</f>
        <v>Valorizaciones por cobrar</v>
      </c>
      <c r="C9" s="42">
        <f>Datos!C6</f>
        <v>2400000</v>
      </c>
      <c r="D9" s="18" t="str">
        <f>Datos!B20</f>
        <v>Cuentas por pagar subcontratistas</v>
      </c>
      <c r="E9" s="46">
        <f>Datos!C20</f>
        <v>1405000</v>
      </c>
      <c r="G9" s="31" t="str">
        <f>Datos!B19</f>
        <v xml:space="preserve">Gastos de comisiones </v>
      </c>
      <c r="H9" s="54">
        <f>-Datos!C19</f>
        <v>-176000</v>
      </c>
      <c r="I9" s="21"/>
    </row>
    <row r="10" spans="2:12" ht="14.5" thickTop="1" x14ac:dyDescent="0.4">
      <c r="B10" s="22" t="s">
        <v>53</v>
      </c>
      <c r="C10" s="41">
        <f>SUM(C8:C9)</f>
        <v>4000000</v>
      </c>
      <c r="D10" s="23" t="s">
        <v>61</v>
      </c>
      <c r="E10" s="47">
        <f>SUM(E7:E9)</f>
        <v>3781000</v>
      </c>
      <c r="F10" s="21"/>
      <c r="G10" s="22" t="s">
        <v>2</v>
      </c>
      <c r="H10" s="47">
        <f>H7+H8+H9</f>
        <v>524000</v>
      </c>
      <c r="I10" s="21"/>
    </row>
    <row r="11" spans="2:12" x14ac:dyDescent="0.4">
      <c r="B11" s="31"/>
      <c r="C11" s="18"/>
      <c r="D11" s="20" t="s">
        <v>16</v>
      </c>
      <c r="E11" s="30"/>
      <c r="F11" s="21"/>
      <c r="G11" s="31" t="str">
        <f>Datos!B8</f>
        <v>Ingreso por enajenación activo</v>
      </c>
      <c r="H11" s="53">
        <f>Datos!C8</f>
        <v>475000</v>
      </c>
      <c r="I11" s="21"/>
    </row>
    <row r="12" spans="2:12" x14ac:dyDescent="0.4">
      <c r="B12" s="29" t="s">
        <v>8</v>
      </c>
      <c r="C12" s="19"/>
      <c r="D12" s="19" t="str">
        <f>Datos!B14</f>
        <v>Obligaciones financieras (LP)</v>
      </c>
      <c r="E12" s="32">
        <f>Datos!C14</f>
        <v>4000000</v>
      </c>
      <c r="F12" s="21"/>
      <c r="G12" s="31" t="str">
        <f>Datos!B11</f>
        <v>Gastos financieros</v>
      </c>
      <c r="H12" s="52">
        <f>-Datos!C11</f>
        <v>-18000</v>
      </c>
      <c r="I12" s="21"/>
    </row>
    <row r="13" spans="2:12" ht="14.5" thickBot="1" x14ac:dyDescent="0.45">
      <c r="B13" s="31" t="str">
        <f>Datos!B18</f>
        <v>Maquinaria y equipo, IME, PPE</v>
      </c>
      <c r="C13" s="42">
        <f>Datos!C18</f>
        <v>7500000</v>
      </c>
      <c r="D13" s="23" t="s">
        <v>62</v>
      </c>
      <c r="E13" s="44">
        <f>E12</f>
        <v>4000000</v>
      </c>
      <c r="F13" s="21"/>
      <c r="G13" s="31" t="str">
        <f>Datos!B21</f>
        <v>Costo enajenación activo</v>
      </c>
      <c r="H13" s="54">
        <f>-Datos!C21</f>
        <v>-500000</v>
      </c>
      <c r="I13" s="21"/>
    </row>
    <row r="14" spans="2:12" ht="14.5" thickTop="1" x14ac:dyDescent="0.4">
      <c r="B14" s="22" t="s">
        <v>60</v>
      </c>
      <c r="C14" s="41">
        <f>SUM(C13)</f>
        <v>7500000</v>
      </c>
      <c r="D14" s="20" t="s">
        <v>65</v>
      </c>
      <c r="E14" s="33">
        <f>E10+E13</f>
        <v>7781000</v>
      </c>
      <c r="F14" s="21"/>
      <c r="G14" s="22" t="s">
        <v>3</v>
      </c>
      <c r="H14" s="47">
        <f>SUM(H10:H13)</f>
        <v>481000</v>
      </c>
      <c r="I14" s="21"/>
    </row>
    <row r="15" spans="2:12" ht="14.5" thickBot="1" x14ac:dyDescent="0.45">
      <c r="B15" s="31"/>
      <c r="C15" s="18"/>
      <c r="D15" s="18"/>
      <c r="E15" s="30"/>
      <c r="F15" s="21"/>
      <c r="G15" s="31" t="str">
        <f>Datos!B9</f>
        <v>Gasto por impuesto a las ganancias</v>
      </c>
      <c r="H15" s="54">
        <f>-Datos!C9</f>
        <v>-182000</v>
      </c>
      <c r="I15" s="21"/>
    </row>
    <row r="16" spans="2:12" ht="15" thickTop="1" thickBot="1" x14ac:dyDescent="0.45">
      <c r="B16" s="31"/>
      <c r="C16" s="18"/>
      <c r="D16" s="20" t="s">
        <v>9</v>
      </c>
      <c r="E16" s="30"/>
      <c r="F16" s="21"/>
      <c r="G16" s="56" t="s">
        <v>24</v>
      </c>
      <c r="H16" s="55">
        <f>SUM(H14:H15)</f>
        <v>299000</v>
      </c>
      <c r="I16" s="21"/>
    </row>
    <row r="17" spans="2:9" x14ac:dyDescent="0.4">
      <c r="B17" s="31"/>
      <c r="C17" s="18"/>
      <c r="D17" s="19" t="str">
        <f>Datos!B22</f>
        <v>Capital social</v>
      </c>
      <c r="E17" s="45">
        <f>Datos!C22</f>
        <v>2159000</v>
      </c>
      <c r="F17" s="21"/>
      <c r="I17" s="21"/>
    </row>
    <row r="18" spans="2:9" x14ac:dyDescent="0.4">
      <c r="B18" s="31"/>
      <c r="C18" s="18"/>
      <c r="D18" s="19" t="str">
        <f>Datos!B16</f>
        <v>Reserva legal</v>
      </c>
      <c r="E18" s="45">
        <f>Datos!C16</f>
        <v>420000</v>
      </c>
      <c r="F18" s="21"/>
      <c r="I18" s="21"/>
    </row>
    <row r="19" spans="2:9" x14ac:dyDescent="0.4">
      <c r="B19" s="31"/>
      <c r="C19" s="18"/>
      <c r="D19" s="19" t="s">
        <v>46</v>
      </c>
      <c r="E19" s="49">
        <f>H16</f>
        <v>299000</v>
      </c>
      <c r="F19" s="21"/>
      <c r="I19" s="21"/>
    </row>
    <row r="20" spans="2:9" x14ac:dyDescent="0.4">
      <c r="B20" s="31"/>
      <c r="C20" s="18"/>
      <c r="D20" s="18" t="str">
        <f>Datos!B17</f>
        <v>Resultado acumulado al 31.12.2024</v>
      </c>
      <c r="E20" s="45">
        <f>Datos!C17</f>
        <v>1000000</v>
      </c>
      <c r="F20" s="21"/>
      <c r="I20" s="21"/>
    </row>
    <row r="21" spans="2:9" ht="14.5" thickBot="1" x14ac:dyDescent="0.45">
      <c r="B21" s="29"/>
      <c r="C21" s="43"/>
      <c r="D21" s="18" t="s">
        <v>17</v>
      </c>
      <c r="E21" s="48">
        <f>SUM(E17:E20)</f>
        <v>3878000</v>
      </c>
      <c r="F21" s="21"/>
      <c r="G21" s="21"/>
      <c r="H21" s="21"/>
      <c r="I21" s="21"/>
    </row>
    <row r="22" spans="2:9" ht="15" thickTop="1" thickBot="1" x14ac:dyDescent="0.45">
      <c r="B22" s="34" t="s">
        <v>14</v>
      </c>
      <c r="C22" s="40">
        <f>SUM(C14+C10)</f>
        <v>11500000</v>
      </c>
      <c r="D22" s="35" t="s">
        <v>11</v>
      </c>
      <c r="E22" s="40">
        <f>E14+E21</f>
        <v>11659000</v>
      </c>
      <c r="F22" s="21"/>
      <c r="G22" s="21"/>
      <c r="H22" s="21"/>
      <c r="I22" s="21"/>
    </row>
    <row r="23" spans="2:9" ht="14.5" thickBot="1" x14ac:dyDescent="0.45">
      <c r="B23" s="36" t="s">
        <v>66</v>
      </c>
      <c r="C23" s="37">
        <f>E22-C22</f>
        <v>159000</v>
      </c>
      <c r="F23" s="21"/>
      <c r="G23" s="21"/>
      <c r="H23" s="21"/>
      <c r="I23" s="21"/>
    </row>
    <row r="24" spans="2:9" x14ac:dyDescent="0.4">
      <c r="F24" s="21"/>
      <c r="G24" s="21"/>
      <c r="H24" s="21"/>
      <c r="I24" s="21"/>
    </row>
    <row r="25" spans="2:9" x14ac:dyDescent="0.4">
      <c r="F25" s="21"/>
      <c r="G25" s="21"/>
      <c r="H25" s="21"/>
      <c r="I25" s="21"/>
    </row>
    <row r="26" spans="2:9" x14ac:dyDescent="0.4">
      <c r="F26" s="24"/>
      <c r="G26" s="21"/>
      <c r="H26" s="21"/>
      <c r="I26" s="21"/>
    </row>
    <row r="27" spans="2:9" x14ac:dyDescent="0.4">
      <c r="F27" s="21"/>
      <c r="G27" s="21"/>
      <c r="H27" s="21"/>
      <c r="I27" s="21"/>
    </row>
    <row r="28" spans="2:9" x14ac:dyDescent="0.4">
      <c r="F28" s="21"/>
      <c r="G28" s="21"/>
      <c r="H28" s="21"/>
      <c r="I28" s="21"/>
    </row>
    <row r="29" spans="2:9" x14ac:dyDescent="0.4">
      <c r="F29" s="21"/>
      <c r="G29" s="21"/>
      <c r="H29" s="21"/>
      <c r="I29" s="21"/>
    </row>
    <row r="30" spans="2:9" x14ac:dyDescent="0.4">
      <c r="F30" s="21"/>
      <c r="G30" s="21"/>
      <c r="H30" s="21"/>
      <c r="I30" s="21"/>
    </row>
    <row r="31" spans="2:9" x14ac:dyDescent="0.4">
      <c r="F31" s="21"/>
      <c r="G31" s="21"/>
      <c r="H31" s="21"/>
      <c r="I31" s="21"/>
    </row>
    <row r="32" spans="2:9" x14ac:dyDescent="0.4">
      <c r="F32" s="21"/>
      <c r="G32" s="21"/>
      <c r="H32" s="21"/>
      <c r="I32" s="21"/>
    </row>
    <row r="33" spans="2:9" x14ac:dyDescent="0.4">
      <c r="F33" s="21"/>
      <c r="G33" s="21"/>
      <c r="H33" s="21"/>
      <c r="I33" s="21"/>
    </row>
    <row r="34" spans="2:9" x14ac:dyDescent="0.4">
      <c r="F34" s="21"/>
      <c r="G34" s="21"/>
      <c r="H34" s="21"/>
      <c r="I34" s="21"/>
    </row>
    <row r="35" spans="2:9" x14ac:dyDescent="0.4">
      <c r="F35" s="21"/>
      <c r="G35" s="21"/>
      <c r="H35" s="21"/>
      <c r="I35" s="21"/>
    </row>
    <row r="36" spans="2:9" x14ac:dyDescent="0.4">
      <c r="F36" s="21"/>
      <c r="G36" s="21"/>
      <c r="H36" s="21"/>
      <c r="I36" s="21"/>
    </row>
    <row r="37" spans="2:9" x14ac:dyDescent="0.4">
      <c r="F37" s="21"/>
      <c r="G37" s="21"/>
      <c r="H37" s="21"/>
      <c r="I37" s="21"/>
    </row>
    <row r="38" spans="2:9" x14ac:dyDescent="0.4">
      <c r="B38" s="16"/>
      <c r="C38" s="25"/>
      <c r="F38" s="21"/>
      <c r="G38" s="21"/>
      <c r="H38" s="21"/>
      <c r="I38" s="21"/>
    </row>
  </sheetData>
  <mergeCells count="11">
    <mergeCell ref="J7:K7"/>
    <mergeCell ref="J5:K5"/>
    <mergeCell ref="J6:K6"/>
    <mergeCell ref="B1:E1"/>
    <mergeCell ref="B2:E2"/>
    <mergeCell ref="B3:E3"/>
    <mergeCell ref="B4:E4"/>
    <mergeCell ref="G1:H1"/>
    <mergeCell ref="G2:H2"/>
    <mergeCell ref="G3:H3"/>
    <mergeCell ref="G4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Datos</vt:lpstr>
      <vt:lpstr>Estructura</vt:lpstr>
      <vt:lpstr>Datos!Área_de_impresión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Elmer Villarreal León</dc:creator>
  <cp:keywords>Estado de situación financiera - ESF-ER</cp:keywords>
  <cp:lastModifiedBy>Ruth Mery Villarreal Leon</cp:lastModifiedBy>
  <cp:lastPrinted>2023-05-09T12:33:56Z</cp:lastPrinted>
  <dcterms:created xsi:type="dcterms:W3CDTF">2017-02-09T14:55:27Z</dcterms:created>
  <dcterms:modified xsi:type="dcterms:W3CDTF">2026-02-27T08:18:41Z</dcterms:modified>
</cp:coreProperties>
</file>